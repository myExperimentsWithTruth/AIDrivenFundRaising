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ster_List" sheetId="1" state="visible" r:id="rId3"/>
    <sheet name="PNB_Statement" sheetId="2" state="visible" r:id="rId4"/>
    <sheet name="Canara_Statement" sheetId="3" state="visible" r:id="rId5"/>
    <sheet name="Holding_Account" sheetId="4" state="visible" r:id="rId6"/>
    <sheet name="Distribution_List" sheetId="5" state="visible" r:id="rId7"/>
    <sheet name="Audit_Log" sheetId="6" state="visible" r:id="rId8"/>
    <sheet name="Action_Items" sheetId="7" state="visible" r:id="rId9"/>
    <sheet name="Dashboard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<sst xmlns="http://schemas.openxmlformats.org/spreadsheetml/2006/main" count="388" uniqueCount="207">
  <si>
    <t xml:space="preserve">#</t>
  </si>
  <si>
    <t xml:space="preserve">Name</t>
  </si>
  <si>
    <t xml:space="preserve">Batch / Group</t>
  </si>
  <si>
    <t xml:space="preserve">Pledged_INR</t>
  </si>
  <si>
    <t xml:space="preserve">Received_Confirmed</t>
  </si>
  <si>
    <t xml:space="preserve">Received_Pending</t>
  </si>
  <si>
    <t xml:space="preserve">Total_Claimed</t>
  </si>
  <si>
    <t xml:space="preserve">Payment Status</t>
  </si>
  <si>
    <t xml:space="preserve">Verification Status</t>
  </si>
  <si>
    <t xml:space="preserve">Bank_Refs</t>
  </si>
  <si>
    <t xml:space="preserve">Pending_Refs</t>
  </si>
  <si>
    <t xml:space="preserve">Notes</t>
  </si>
  <si>
    <t xml:space="preserve">Anand S</t>
  </si>
  <si>
    <t xml:space="preserve">Batch-1998</t>
  </si>
  <si>
    <t xml:space="preserve">OK</t>
  </si>
  <si>
    <t xml:space="preserve">Verified</t>
  </si>
  <si>
    <t xml:space="preserve">UPI/2026051912345</t>
  </si>
  <si>
    <t xml:space="preserve">Bhavna K</t>
  </si>
  <si>
    <t xml:space="preserve">Work-circle</t>
  </si>
  <si>
    <t xml:space="preserve">UPI/2026051923456</t>
  </si>
  <si>
    <t xml:space="preserve">Chetan M</t>
  </si>
  <si>
    <t xml:space="preserve">UPI/2026051967890</t>
  </si>
  <si>
    <t xml:space="preserve">Deepa R</t>
  </si>
  <si>
    <t xml:space="preserve">Family</t>
  </si>
  <si>
    <t xml:space="preserve">PENDING</t>
  </si>
  <si>
    <t xml:space="preserve">Pending Verification</t>
  </si>
  <si>
    <t xml:space="preserve">Screenshot · WhatsApp · 21-May 14:20</t>
  </si>
  <si>
    <t xml:space="preserve">Claim sent, not yet in bank</t>
  </si>
  <si>
    <t xml:space="preserve">Eshan P</t>
  </si>
  <si>
    <t xml:space="preserve">Batch-2000</t>
  </si>
  <si>
    <t xml:space="preserve">PARTIAL</t>
  </si>
  <si>
    <t xml:space="preserve">UPI/2026052156789</t>
  </si>
  <si>
    <t xml:space="preserve">Screenshot · WhatsApp · 22-May 09:10</t>
  </si>
  <si>
    <t xml:space="preserve">10K in bank, 5K pending</t>
  </si>
  <si>
    <t xml:space="preserve">Farhan A</t>
  </si>
  <si>
    <t xml:space="preserve">Overseas</t>
  </si>
  <si>
    <t xml:space="preserve">MLP/MILAAP-EXT-9921</t>
  </si>
  <si>
    <t xml:space="preserve">Routed via Milaap to Holding</t>
  </si>
  <si>
    <t xml:space="preserve">Gaurav S</t>
  </si>
  <si>
    <t xml:space="preserve">HOLD/H001</t>
  </si>
  <si>
    <t xml:space="preserve">Paid into Holding intermediary</t>
  </si>
  <si>
    <t xml:space="preserve">Hema V</t>
  </si>
  <si>
    <t xml:space="preserve">Screenshot · WhatsApp · 21-May 19:42</t>
  </si>
  <si>
    <t xml:space="preserve">Awaiting next PNB statement</t>
  </si>
  <si>
    <t xml:space="preserve">Ishan T</t>
  </si>
  <si>
    <t xml:space="preserve">Batch-1999</t>
  </si>
  <si>
    <t xml:space="preserve">UPI/2026052045678</t>
  </si>
  <si>
    <t xml:space="preserve">Jaya M</t>
  </si>
  <si>
    <t xml:space="preserve">UPI/2026052078901</t>
  </si>
  <si>
    <t xml:space="preserve">Date</t>
  </si>
  <si>
    <t xml:space="preserve">Time</t>
  </si>
  <si>
    <t xml:space="preserve">Amount</t>
  </si>
  <si>
    <t xml:space="preserve">Type</t>
  </si>
  <si>
    <t xml:space="preserve">Sender (bank-name)</t>
  </si>
  <si>
    <t xml:space="preserve">UTR / UPI Ref</t>
  </si>
  <si>
    <t xml:space="preserve">Mapped_To_#</t>
  </si>
  <si>
    <t xml:space="preserve">Status</t>
  </si>
  <si>
    <t xml:space="preserve">Source</t>
  </si>
  <si>
    <t xml:space="preserve">Linked Name</t>
  </si>
  <si>
    <t xml:space="preserve">19-05-2026</t>
  </si>
  <si>
    <t xml:space="preserve">CR</t>
  </si>
  <si>
    <t xml:space="preserve">ANAND SHARMA</t>
  </si>
  <si>
    <t xml:space="preserve">Matched</t>
  </si>
  <si>
    <t xml:space="preserve">Stmt</t>
  </si>
  <si>
    <t xml:space="preserve">BHAVNA KAPOOR</t>
  </si>
  <si>
    <t xml:space="preserve">20-05-2026</t>
  </si>
  <si>
    <t xml:space="preserve">RAVI KUMAR</t>
  </si>
  <si>
    <t xml:space="preserve">UPI/2026052034567</t>
  </si>
  <si>
    <t xml:space="preserve">Unreviewed</t>
  </si>
  <si>
    <t xml:space="preserve">Sender not on Master_List — ask fundraiser</t>
  </si>
  <si>
    <t xml:space="preserve">ISHAN TANDON</t>
  </si>
  <si>
    <t xml:space="preserve">21-05-2026</t>
  </si>
  <si>
    <t xml:space="preserve">ESHAN PAUL</t>
  </si>
  <si>
    <t xml:space="preserve">First instalment; 5K still pending</t>
  </si>
  <si>
    <t xml:space="preserve">14:32</t>
  </si>
  <si>
    <t xml:space="preserve">CHETAN MEHTA</t>
  </si>
  <si>
    <t xml:space="preserve">10:15</t>
  </si>
  <si>
    <t xml:space="preserve">JAYA MENON</t>
  </si>
  <si>
    <t xml:space="preserve">16:42</t>
  </si>
  <si>
    <t xml:space="preserve">HOLDING POOL SWEEP</t>
  </si>
  <si>
    <t xml:space="preserve">SWP/HOLD-CAN-001</t>
  </si>
  <si>
    <t xml:space="preserve">Internal</t>
  </si>
  <si>
    <t xml:space="preserve">Sweep from Holding_Account row 4 — NOT a contribution</t>
  </si>
  <si>
    <t xml:space="preserve">Holding Balance</t>
  </si>
  <si>
    <t xml:space="preserve">18-05-2026</t>
  </si>
  <si>
    <t xml:space="preserve">11:20</t>
  </si>
  <si>
    <t xml:space="preserve">GAURAV SINGH</t>
  </si>
  <si>
    <t xml:space="preserve">13:45</t>
  </si>
  <si>
    <t xml:space="preserve">FARHAN AHMED (MILAAP)</t>
  </si>
  <si>
    <t xml:space="preserve">Routed via Milaap into Holding</t>
  </si>
  <si>
    <t xml:space="preserve">DR</t>
  </si>
  <si>
    <t xml:space="preserve">SWEEP TO CANARA</t>
  </si>
  <si>
    <t xml:space="preserve">SWEEP — Holding → Canara. NOT a contribution.</t>
  </si>
  <si>
    <t xml:space="preserve">Display Name</t>
  </si>
  <si>
    <t xml:space="preserve">Phone</t>
  </si>
  <si>
    <t xml:space="preserve">Tier</t>
  </si>
  <si>
    <t xml:space="preserve">Master_List Link</t>
  </si>
  <si>
    <t xml:space="preserve">Last Sent Date</t>
  </si>
  <si>
    <t xml:space="preserve">Last Send Status</t>
  </si>
  <si>
    <t xml:space="preserve">Removed</t>
  </si>
  <si>
    <t xml:space="preserve">Existing</t>
  </si>
  <si>
    <t xml:space="preserve">Saved contact</t>
  </si>
  <si>
    <t xml:space="preserve">2026-05-22</t>
  </si>
  <si>
    <t xml:space="preserve">msg-dblcheck</t>
  </si>
  <si>
    <t xml:space="preserve">FALSE</t>
  </si>
  <si>
    <t xml:space="preserve">msg-check</t>
  </si>
  <si>
    <t xml:space="preserve">918XXXXX1234</t>
  </si>
  <si>
    <t xml:space="preserve">Unsaved contact — using deep-link</t>
  </si>
  <si>
    <t xml:space="preserve">971XXXXX5678</t>
  </si>
  <si>
    <t xml:space="preserve">Overseas — Milaap contributor</t>
  </si>
  <si>
    <t xml:space="preserve">Via Holding intermediary</t>
  </si>
  <si>
    <t xml:space="preserve">Karthik N</t>
  </si>
  <si>
    <t xml:space="preserve">919XXXXX7777</t>
  </si>
  <si>
    <t xml:space="preserve">Added 21-May</t>
  </si>
  <si>
    <t xml:space="preserve">Forwarder — wants future updates</t>
  </si>
  <si>
    <t xml:space="preserve">Lakshmi V</t>
  </si>
  <si>
    <t xml:space="preserve">Forwarder; circulates within family group</t>
  </si>
  <si>
    <t xml:space="preserve">Manish K</t>
  </si>
  <si>
    <t xml:space="preserve">Not a contributor; forwarder only</t>
  </si>
  <si>
    <t xml:space="preserve">Batch-1998 group</t>
  </si>
  <si>
    <t xml:space="preserve">Group</t>
  </si>
  <si>
    <t xml:space="preserve">WhatsApp group — manual touch needed</t>
  </si>
  <si>
    <t xml:space="preserve">Nikhil P</t>
  </si>
  <si>
    <t xml:space="preserve">Asked to be removed on 21-May</t>
  </si>
  <si>
    <t xml:space="preserve">2026-05-21</t>
  </si>
  <si>
    <t xml:space="preserve">TRUE</t>
  </si>
  <si>
    <t xml:space="preserve">Timestamp</t>
  </si>
  <si>
    <t xml:space="preserve">Master_List #</t>
  </si>
  <si>
    <t xml:space="preserve">Sheet</t>
  </si>
  <si>
    <t xml:space="preserve">Row</t>
  </si>
  <si>
    <t xml:space="preserve">Field</t>
  </si>
  <si>
    <t xml:space="preserve">Before</t>
  </si>
  <si>
    <t xml:space="preserve">After</t>
  </si>
  <si>
    <t xml:space="preserve">Trigger</t>
  </si>
  <si>
    <t xml:space="preserve">Evidence Ref</t>
  </si>
  <si>
    <t xml:space="preserve">2026-05-19T08:14:22</t>
  </si>
  <si>
    <t xml:space="preserve">PNB_Statement</t>
  </si>
  <si>
    <t xml:space="preserve">1</t>
  </si>
  <si>
    <t xml:space="preserve">Bank stmt import</t>
  </si>
  <si>
    <t xml:space="preserve">2026-05-19T08:14:35</t>
  </si>
  <si>
    <t xml:space="preserve">2</t>
  </si>
  <si>
    <t xml:space="preserve">2026-05-19T08:14:48</t>
  </si>
  <si>
    <t xml:space="preserve">Canara_Statement</t>
  </si>
  <si>
    <t xml:space="preserve">3</t>
  </si>
  <si>
    <t xml:space="preserve">2026-05-20T09:02:11</t>
  </si>
  <si>
    <t xml:space="preserve">Master_List</t>
  </si>
  <si>
    <t xml:space="preserve">0</t>
  </si>
  <si>
    <t xml:space="preserve">10000</t>
  </si>
  <si>
    <t xml:space="preserve">Donor screenshot</t>
  </si>
  <si>
    <t xml:space="preserve">WhatsApp · 21-May 14:20</t>
  </si>
  <si>
    <t xml:space="preserve">2026-05-20T15:42:55</t>
  </si>
  <si>
    <t xml:space="preserve">Sweep handler</t>
  </si>
  <si>
    <t xml:space="preserve">2026-05-21T07:55:12</t>
  </si>
  <si>
    <t xml:space="preserve">daily_updates</t>
  </si>
  <si>
    <t xml:space="preserve">Generated</t>
  </si>
  <si>
    <t xml:space="preserve">Verified=200000,Pend=45000</t>
  </si>
  <si>
    <t xml:space="preserve">Generate §8.2</t>
  </si>
  <si>
    <t xml:space="preserve">daily_updates/20260521_update.md</t>
  </si>
  <si>
    <t xml:space="preserve">2026-05-21T07:57:33</t>
  </si>
  <si>
    <t xml:space="preserve">audit</t>
  </si>
  <si>
    <t xml:space="preserve">Verification PASS</t>
  </si>
  <si>
    <t xml:space="preserve">Verification §8.1</t>
  </si>
  <si>
    <t xml:space="preserve">headline matches Excel</t>
  </si>
  <si>
    <t xml:space="preserve">2026-05-21T07:58:02</t>
  </si>
  <si>
    <t xml:space="preserve">Audit APPROVED</t>
  </si>
  <si>
    <t xml:space="preserve">Audit agent §9.2</t>
  </si>
  <si>
    <t xml:space="preserve">archive/audit_20260521_075800.md</t>
  </si>
  <si>
    <t xml:space="preserve">2026-05-22T03:08:19</t>
  </si>
  <si>
    <t xml:space="preserve">Distribution_List</t>
  </si>
  <si>
    <t xml:space="preserve">Added recipient</t>
  </si>
  <si>
    <t xml:space="preserve">Add new recipient</t>
  </si>
  <si>
    <t xml:space="preserve">Forwarder request</t>
  </si>
  <si>
    <t xml:space="preserve">2026-05-22T03:21:44</t>
  </si>
  <si>
    <t xml:space="preserve">Recipient opt-out</t>
  </si>
  <si>
    <t xml:space="preserve">WhatsApp 21-May 22:30</t>
  </si>
  <si>
    <t xml:space="preserve">Created</t>
  </si>
  <si>
    <t xml:space="preserve">Pointer</t>
  </si>
  <si>
    <t xml:space="preserve">Summary</t>
  </si>
  <si>
    <t xml:space="preserve">Resolved by</t>
  </si>
  <si>
    <t xml:space="preserve">2026-05-20T09:35:18</t>
  </si>
  <si>
    <t xml:space="preserve">PNB_Statement!row=4</t>
  </si>
  <si>
    <t xml:space="preserve">RAVI KUMAR · ₹15,000 · 20-May · do we recognise this sender?</t>
  </si>
  <si>
    <t xml:space="preserve">Open</t>
  </si>
  <si>
    <t xml:space="preserve">2026-05-21T07:30:09</t>
  </si>
  <si>
    <t xml:space="preserve">Stale-Pending</t>
  </si>
  <si>
    <t xml:space="preserve">Master_List!#=8</t>
  </si>
  <si>
    <t xml:space="preserve">Hema V · ₹30,000 pending &gt; 48 hours · investigate</t>
  </si>
  <si>
    <t xml:space="preserve">New-Recipient</t>
  </si>
  <si>
    <t xml:space="preserve">Distribution_List!#=11</t>
  </si>
  <si>
    <t xml:space="preserve">Forwarder Karthik N added; resend today's update once verified.</t>
  </si>
  <si>
    <t xml:space="preserve">Resolved</t>
  </si>
  <si>
    <t xml:space="preserve">Distribution_List row 12</t>
  </si>
  <si>
    <t xml:space="preserve">Fundraise Dashboard</t>
  </si>
  <si>
    <t xml:space="preserve">Snapshot as of</t>
  </si>
  <si>
    <t xml:space="preserve">22-May-2026 03:30 IST</t>
  </si>
  <si>
    <t xml:space="preserve">Headline (three buckets)</t>
  </si>
  <si>
    <t xml:space="preserve">Verified in bank (named)</t>
  </si>
  <si>
    <t xml:space="preserve">Awaiting bank statement (donor evidence in)</t>
  </si>
  <si>
    <t xml:space="preserve">Awaiting identification (bank credits without name)</t>
  </si>
  <si>
    <t xml:space="preserve">Grand total (publishable headline)</t>
  </si>
  <si>
    <t xml:space="preserve">By channel (gross CR)</t>
  </si>
  <si>
    <t xml:space="preserve">Holding_Account</t>
  </si>
  <si>
    <t xml:space="preserve">Holding balance (residual in pool)</t>
  </si>
  <si>
    <t xml:space="preserve">Contributors by Payment Status</t>
  </si>
  <si>
    <t xml:space="preserve">OVER</t>
  </si>
  <si>
    <t xml:space="preserve">REMOVED</t>
  </si>
  <si>
    <t xml:space="preserve">Open Action_Items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</si>
</sst>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\₹#,##0;&quot;(₹&quot;#,##0\);\-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4"/>
      <color rgb="FF92400E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44546A"/>
        <bgColor rgb="FF333399"/>
      </patternFill>
    </fill>
    <fill>
      <patternFill patternType="solid">
        <fgColor rgb="FFFEF3C7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CCFFFF"/>
      <rgbColor rgb="FF660066"/>
      <rgbColor rgb="FFFF8080"/>
      <rgbColor rgb="FF0066CC"/>
      <rgbColor rgb="FFD6D3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39966"/>
      <rgbColor rgb="FF003300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4" min="3" style="0" width="14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20"/>
    <col collapsed="false" customWidth="true" hidden="false" outlineLevel="0" max="10" min="10" style="0" width="30"/>
    <col collapsed="false" customWidth="true" hidden="false" outlineLevel="0" max="11" min="11" style="0" width="36"/>
    <col collapsed="false" customWidth="true" hidden="false" outlineLevel="0" max="12" min="12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2" t="n">
        <v>1</v>
      </c>
      <c r="B2" s="2" t="s">
        <v>12</v>
      </c>
      <c r="C2" s="2" t="s">
        <v>13</v>
      </c>
      <c r="D2" s="3" t="n">
        <v>50000</v>
      </c>
      <c r="E2" s="3" t="n">
        <f aca="false">SUMIFS(PNB_Statement!C:C,PNB_Statement!G:G,A2,PNB_Statement!D:D,"CR")+SUMIFS(Canara_Statement!C:C,Canara_Statement!G:G,A2,Canara_Statement!D:D,"CR")+SUMIFS(Holding_Account!C:C,Holding_Account!G:G,A2,Holding_Account!D:D,"CR")</f>
        <v>50000</v>
      </c>
      <c r="F2" s="3" t="n">
        <v>0</v>
      </c>
      <c r="G2" s="3" t="n">
        <f aca="false">E2+F2</f>
        <v>50000</v>
      </c>
      <c r="H2" s="2" t="s">
        <v>14</v>
      </c>
      <c r="I2" s="2" t="s">
        <v>15</v>
      </c>
      <c r="J2" s="2" t="s">
        <v>16</v>
      </c>
      <c r="K2" s="2"/>
      <c r="L2" s="2"/>
    </row>
    <row r="3" customFormat="false" ht="15" hidden="false" customHeight="false" outlineLevel="0" collapsed="false">
      <c r="A3" s="2" t="n">
        <v>2</v>
      </c>
      <c r="B3" s="2" t="s">
        <v>17</v>
      </c>
      <c r="C3" s="2" t="s">
        <v>18</v>
      </c>
      <c r="D3" s="3" t="n">
        <v>25000</v>
      </c>
      <c r="E3" s="3" t="n">
        <f aca="false">SUMIFS(PNB_Statement!C:C,PNB_Statement!G:G,A3,PNB_Statement!D:D,"CR")+SUMIFS(Canara_Statement!C:C,Canara_Statement!G:G,A3,Canara_Statement!D:D,"CR")+SUMIFS(Holding_Account!C:C,Holding_Account!G:G,A3,Holding_Account!D:D,"CR")</f>
        <v>25000</v>
      </c>
      <c r="F3" s="3" t="n">
        <v>0</v>
      </c>
      <c r="G3" s="3" t="n">
        <f aca="false">E3+F3</f>
        <v>25000</v>
      </c>
      <c r="H3" s="2" t="s">
        <v>14</v>
      </c>
      <c r="I3" s="2" t="s">
        <v>15</v>
      </c>
      <c r="J3" s="2" t="s">
        <v>19</v>
      </c>
      <c r="K3" s="2"/>
      <c r="L3" s="2"/>
    </row>
    <row r="4" customFormat="false" ht="15" hidden="false" customHeight="false" outlineLevel="0" collapsed="false">
      <c r="A4" s="2" t="n">
        <v>3</v>
      </c>
      <c r="B4" s="2" t="s">
        <v>20</v>
      </c>
      <c r="C4" s="2" t="s">
        <v>13</v>
      </c>
      <c r="D4" s="3" t="n">
        <v>100000</v>
      </c>
      <c r="E4" s="3" t="n">
        <f aca="false">SUMIFS(PNB_Statement!C:C,PNB_Statement!G:G,A4,PNB_Statement!D:D,"CR")+SUMIFS(Canara_Statement!C:C,Canara_Statement!G:G,A4,Canara_Statement!D:D,"CR")+SUMIFS(Holding_Account!C:C,Holding_Account!G:G,A4,Holding_Account!D:D,"CR")</f>
        <v>100000</v>
      </c>
      <c r="F4" s="3" t="n">
        <v>0</v>
      </c>
      <c r="G4" s="3" t="n">
        <f aca="false">E4+F4</f>
        <v>100000</v>
      </c>
      <c r="H4" s="2" t="s">
        <v>14</v>
      </c>
      <c r="I4" s="2" t="s">
        <v>15</v>
      </c>
      <c r="J4" s="2" t="s">
        <v>21</v>
      </c>
      <c r="K4" s="2"/>
      <c r="L4" s="2"/>
    </row>
    <row r="5" customFormat="false" ht="15" hidden="false" customHeight="false" outlineLevel="0" collapsed="false">
      <c r="A5" s="2" t="n">
        <v>4</v>
      </c>
      <c r="B5" s="2" t="s">
        <v>22</v>
      </c>
      <c r="C5" s="2" t="s">
        <v>23</v>
      </c>
      <c r="D5" s="3" t="n">
        <v>10000</v>
      </c>
      <c r="E5" s="3" t="n">
        <f aca="false">SUMIFS(PNB_Statement!C:C,PNB_Statement!G:G,A5,PNB_Statement!D:D,"CR")+SUMIFS(Canara_Statement!C:C,Canara_Statement!G:G,A5,Canara_Statement!D:D,"CR")+SUMIFS(Holding_Account!C:C,Holding_Account!G:G,A5,Holding_Account!D:D,"CR")</f>
        <v>0</v>
      </c>
      <c r="F5" s="3" t="n">
        <v>10000</v>
      </c>
      <c r="G5" s="3" t="n">
        <f aca="false">E5+F5</f>
        <v>10000</v>
      </c>
      <c r="H5" s="2" t="s">
        <v>24</v>
      </c>
      <c r="I5" s="2" t="s">
        <v>25</v>
      </c>
      <c r="J5" s="2"/>
      <c r="K5" s="2" t="s">
        <v>26</v>
      </c>
      <c r="L5" s="2" t="s">
        <v>27</v>
      </c>
    </row>
    <row r="6" customFormat="false" ht="15" hidden="false" customHeight="false" outlineLevel="0" collapsed="false">
      <c r="A6" s="2" t="n">
        <v>5</v>
      </c>
      <c r="B6" s="2" t="s">
        <v>28</v>
      </c>
      <c r="C6" s="2" t="s">
        <v>29</v>
      </c>
      <c r="D6" s="3" t="n">
        <v>15000</v>
      </c>
      <c r="E6" s="3" t="n">
        <f aca="false">SUMIFS(PNB_Statement!C:C,PNB_Statement!G:G,A6,PNB_Statement!D:D,"CR")+SUMIFS(Canara_Statement!C:C,Canara_Statement!G:G,A6,Canara_Statement!D:D,"CR")+SUMIFS(Holding_Account!C:C,Holding_Account!G:G,A6,Holding_Account!D:D,"CR")</f>
        <v>10000</v>
      </c>
      <c r="F6" s="3" t="n">
        <v>5000</v>
      </c>
      <c r="G6" s="3" t="n">
        <f aca="false">E6+F6</f>
        <v>15000</v>
      </c>
      <c r="H6" s="2" t="s">
        <v>30</v>
      </c>
      <c r="I6" s="2" t="s">
        <v>15</v>
      </c>
      <c r="J6" s="2" t="s">
        <v>31</v>
      </c>
      <c r="K6" s="2" t="s">
        <v>32</v>
      </c>
      <c r="L6" s="2" t="s">
        <v>33</v>
      </c>
    </row>
    <row r="7" customFormat="false" ht="15" hidden="false" customHeight="false" outlineLevel="0" collapsed="false">
      <c r="A7" s="2" t="n">
        <v>6</v>
      </c>
      <c r="B7" s="2" t="s">
        <v>34</v>
      </c>
      <c r="C7" s="2" t="s">
        <v>35</v>
      </c>
      <c r="D7" s="3" t="n">
        <v>20000</v>
      </c>
      <c r="E7" s="3" t="n">
        <f aca="false">SUMIFS(PNB_Statement!C:C,PNB_Statement!G:G,A7,PNB_Statement!D:D,"CR")+SUMIFS(Canara_Statement!C:C,Canara_Statement!G:G,A7,Canara_Statement!D:D,"CR")+SUMIFS(Holding_Account!C:C,Holding_Account!G:G,A7,Holding_Account!D:D,"CR")</f>
        <v>20000</v>
      </c>
      <c r="F7" s="3" t="n">
        <v>0</v>
      </c>
      <c r="G7" s="3" t="n">
        <f aca="false">E7+F7</f>
        <v>20000</v>
      </c>
      <c r="H7" s="2" t="s">
        <v>14</v>
      </c>
      <c r="I7" s="2" t="s">
        <v>15</v>
      </c>
      <c r="J7" s="2" t="s">
        <v>36</v>
      </c>
      <c r="K7" s="2"/>
      <c r="L7" s="2" t="s">
        <v>37</v>
      </c>
    </row>
    <row r="8" customFormat="false" ht="15" hidden="false" customHeight="false" outlineLevel="0" collapsed="false">
      <c r="A8" s="2" t="n">
        <v>7</v>
      </c>
      <c r="B8" s="2" t="s">
        <v>38</v>
      </c>
      <c r="C8" s="2" t="s">
        <v>13</v>
      </c>
      <c r="D8" s="3" t="n">
        <v>5000</v>
      </c>
      <c r="E8" s="3" t="n">
        <f aca="false">SUMIFS(PNB_Statement!C:C,PNB_Statement!G:G,A8,PNB_Statement!D:D,"CR")+SUMIFS(Canara_Statement!C:C,Canara_Statement!G:G,A8,Canara_Statement!D:D,"CR")+SUMIFS(Holding_Account!C:C,Holding_Account!G:G,A8,Holding_Account!D:D,"CR")</f>
        <v>5000</v>
      </c>
      <c r="F8" s="3" t="n">
        <v>0</v>
      </c>
      <c r="G8" s="3" t="n">
        <f aca="false">E8+F8</f>
        <v>5000</v>
      </c>
      <c r="H8" s="2" t="s">
        <v>14</v>
      </c>
      <c r="I8" s="2" t="s">
        <v>15</v>
      </c>
      <c r="J8" s="2" t="s">
        <v>39</v>
      </c>
      <c r="K8" s="2"/>
      <c r="L8" s="2" t="s">
        <v>40</v>
      </c>
    </row>
    <row r="9" customFormat="false" ht="15" hidden="false" customHeight="false" outlineLevel="0" collapsed="false">
      <c r="A9" s="2" t="n">
        <v>8</v>
      </c>
      <c r="B9" s="2" t="s">
        <v>41</v>
      </c>
      <c r="C9" s="2" t="s">
        <v>18</v>
      </c>
      <c r="D9" s="3" t="n">
        <v>30000</v>
      </c>
      <c r="E9" s="3" t="n">
        <f aca="false">SUMIFS(PNB_Statement!C:C,PNB_Statement!G:G,A9,PNB_Statement!D:D,"CR")+SUMIFS(Canara_Statement!C:C,Canara_Statement!G:G,A9,Canara_Statement!D:D,"CR")+SUMIFS(Holding_Account!C:C,Holding_Account!G:G,A9,Holding_Account!D:D,"CR")</f>
        <v>0</v>
      </c>
      <c r="F9" s="3" t="n">
        <v>30000</v>
      </c>
      <c r="G9" s="3" t="n">
        <f aca="false">E9+F9</f>
        <v>30000</v>
      </c>
      <c r="H9" s="2" t="s">
        <v>24</v>
      </c>
      <c r="I9" s="2" t="s">
        <v>25</v>
      </c>
      <c r="J9" s="2"/>
      <c r="K9" s="2" t="s">
        <v>42</v>
      </c>
      <c r="L9" s="2" t="s">
        <v>43</v>
      </c>
    </row>
    <row r="10" customFormat="false" ht="15" hidden="false" customHeight="false" outlineLevel="0" collapsed="false">
      <c r="A10" s="2" t="n">
        <v>9</v>
      </c>
      <c r="B10" s="2" t="s">
        <v>44</v>
      </c>
      <c r="C10" s="2" t="s">
        <v>45</v>
      </c>
      <c r="D10" s="3" t="n">
        <v>50000</v>
      </c>
      <c r="E10" s="3" t="n">
        <f aca="false">SUMIFS(PNB_Statement!C:C,PNB_Statement!G:G,A10,PNB_Statement!D:D,"CR")+SUMIFS(Canara_Statement!C:C,Canara_Statement!G:G,A10,Canara_Statement!D:D,"CR")+SUMIFS(Holding_Account!C:C,Holding_Account!G:G,A10,Holding_Account!D:D,"CR")</f>
        <v>50000</v>
      </c>
      <c r="F10" s="3" t="n">
        <v>0</v>
      </c>
      <c r="G10" s="3" t="n">
        <f aca="false">E10+F10</f>
        <v>50000</v>
      </c>
      <c r="H10" s="2" t="s">
        <v>14</v>
      </c>
      <c r="I10" s="2" t="s">
        <v>15</v>
      </c>
      <c r="J10" s="2" t="s">
        <v>46</v>
      </c>
      <c r="K10" s="2"/>
      <c r="L10" s="2"/>
    </row>
    <row r="11" customFormat="false" ht="15" hidden="false" customHeight="false" outlineLevel="0" collapsed="false">
      <c r="A11" s="2" t="n">
        <v>10</v>
      </c>
      <c r="B11" s="2" t="s">
        <v>47</v>
      </c>
      <c r="C11" s="2" t="s">
        <v>23</v>
      </c>
      <c r="D11" s="3" t="n">
        <v>25000</v>
      </c>
      <c r="E11" s="3" t="n">
        <f aca="false">SUMIFS(PNB_Statement!C:C,PNB_Statement!G:G,A11,PNB_Statement!D:D,"CR")+SUMIFS(Canara_Statement!C:C,Canara_Statement!G:G,A11,Canara_Statement!D:D,"CR")+SUMIFS(Holding_Account!C:C,Holding_Account!G:G,A11,Holding_Account!D:D,"CR")</f>
        <v>25000</v>
      </c>
      <c r="F11" s="3" t="n">
        <v>0</v>
      </c>
      <c r="G11" s="3" t="n">
        <f aca="false">E11+F11</f>
        <v>25000</v>
      </c>
      <c r="H11" s="2" t="s">
        <v>14</v>
      </c>
      <c r="I11" s="2" t="s">
        <v>15</v>
      </c>
      <c r="J11" s="2" t="s">
        <v>48</v>
      </c>
      <c r="K11" s="2"/>
      <c r="L11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11</v>
      </c>
    </row>
    <row r="2" customFormat="false" ht="15" hidden="false" customHeight="false" outlineLevel="0" collapsed="false">
      <c r="A2" s="2" t="s">
        <v>59</v>
      </c>
      <c r="B2" s="2"/>
      <c r="C2" s="3" t="n">
        <v>50000</v>
      </c>
      <c r="D2" s="2" t="s">
        <v>60</v>
      </c>
      <c r="E2" s="2" t="s">
        <v>61</v>
      </c>
      <c r="F2" s="2" t="s">
        <v>16</v>
      </c>
      <c r="G2" s="2" t="n">
        <v>1</v>
      </c>
      <c r="H2" s="2" t="s">
        <v>62</v>
      </c>
      <c r="I2" s="2" t="s">
        <v>63</v>
      </c>
      <c r="J2" s="2" t="str">
        <f aca="false">IFERROR(VLOOKUP(G2,Master_List!A:B,2,FALSE()),"")</f>
        <v>Anand S</v>
      </c>
      <c r="K2" s="2"/>
    </row>
    <row r="3" customFormat="false" ht="15" hidden="false" customHeight="false" outlineLevel="0" collapsed="false">
      <c r="A3" s="2" t="s">
        <v>59</v>
      </c>
      <c r="B3" s="2"/>
      <c r="C3" s="3" t="n">
        <v>25000</v>
      </c>
      <c r="D3" s="2" t="s">
        <v>60</v>
      </c>
      <c r="E3" s="2" t="s">
        <v>64</v>
      </c>
      <c r="F3" s="2" t="s">
        <v>19</v>
      </c>
      <c r="G3" s="2" t="n">
        <v>2</v>
      </c>
      <c r="H3" s="2" t="s">
        <v>62</v>
      </c>
      <c r="I3" s="2" t="s">
        <v>63</v>
      </c>
      <c r="J3" s="2" t="str">
        <f aca="false">IFERROR(VLOOKUP(G3,Master_List!A:B,2,FALSE()),"")</f>
        <v>Bhavna K</v>
      </c>
      <c r="K3" s="2"/>
    </row>
    <row r="4" customFormat="false" ht="15" hidden="false" customHeight="false" outlineLevel="0" collapsed="false">
      <c r="A4" s="2" t="s">
        <v>65</v>
      </c>
      <c r="B4" s="2"/>
      <c r="C4" s="3" t="n">
        <v>15000</v>
      </c>
      <c r="D4" s="2" t="s">
        <v>60</v>
      </c>
      <c r="E4" s="2" t="s">
        <v>66</v>
      </c>
      <c r="F4" s="2" t="s">
        <v>67</v>
      </c>
      <c r="G4" s="2"/>
      <c r="H4" s="2" t="s">
        <v>68</v>
      </c>
      <c r="I4" s="2" t="s">
        <v>63</v>
      </c>
      <c r="J4" s="2" t="str">
        <f aca="false">IFERROR(VLOOKUP(G4,Master_List!A:B,2,FALSE()),"")</f>
        <v/>
      </c>
      <c r="K4" s="2" t="s">
        <v>69</v>
      </c>
    </row>
    <row r="5" customFormat="false" ht="15" hidden="false" customHeight="false" outlineLevel="0" collapsed="false">
      <c r="A5" s="2" t="s">
        <v>65</v>
      </c>
      <c r="B5" s="2"/>
      <c r="C5" s="3" t="n">
        <v>50000</v>
      </c>
      <c r="D5" s="2" t="s">
        <v>60</v>
      </c>
      <c r="E5" s="2" t="s">
        <v>70</v>
      </c>
      <c r="F5" s="2" t="s">
        <v>46</v>
      </c>
      <c r="G5" s="2" t="n">
        <v>9</v>
      </c>
      <c r="H5" s="2" t="s">
        <v>62</v>
      </c>
      <c r="I5" s="2" t="s">
        <v>63</v>
      </c>
      <c r="J5" s="2" t="str">
        <f aca="false">IFERROR(VLOOKUP(G5,Master_List!A:B,2,FALSE()),"")</f>
        <v>Ishan T</v>
      </c>
      <c r="K5" s="2"/>
    </row>
    <row r="6" customFormat="false" ht="15" hidden="false" customHeight="false" outlineLevel="0" collapsed="false">
      <c r="A6" s="2" t="s">
        <v>71</v>
      </c>
      <c r="B6" s="2"/>
      <c r="C6" s="3" t="n">
        <v>10000</v>
      </c>
      <c r="D6" s="2" t="s">
        <v>60</v>
      </c>
      <c r="E6" s="2" t="s">
        <v>72</v>
      </c>
      <c r="F6" s="2" t="s">
        <v>31</v>
      </c>
      <c r="G6" s="2" t="n">
        <v>5</v>
      </c>
      <c r="H6" s="2" t="s">
        <v>62</v>
      </c>
      <c r="I6" s="2" t="s">
        <v>63</v>
      </c>
      <c r="J6" s="2" t="str">
        <f aca="false">IFERROR(VLOOKUP(G6,Master_List!A:B,2,FALSE()),"")</f>
        <v>Eshan P</v>
      </c>
      <c r="K6" s="2" t="s">
        <v>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0"/>
  </cols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11</v>
      </c>
    </row>
    <row r="2" customFormat="false" ht="15" hidden="false" customHeight="false" outlineLevel="0" collapsed="false">
      <c r="A2" s="2" t="s">
        <v>59</v>
      </c>
      <c r="B2" s="2" t="s">
        <v>74</v>
      </c>
      <c r="C2" s="3" t="n">
        <v>100000</v>
      </c>
      <c r="D2" s="2" t="s">
        <v>60</v>
      </c>
      <c r="E2" s="2" t="s">
        <v>75</v>
      </c>
      <c r="F2" s="2" t="s">
        <v>21</v>
      </c>
      <c r="G2" s="2" t="n">
        <v>3</v>
      </c>
      <c r="H2" s="2" t="s">
        <v>62</v>
      </c>
      <c r="I2" s="2" t="s">
        <v>63</v>
      </c>
      <c r="J2" s="2" t="str">
        <f aca="false">IFERROR(VLOOKUP(G2,Master_List!A:B,2,FALSE()),"")</f>
        <v>Chetan M</v>
      </c>
      <c r="K2" s="2"/>
    </row>
    <row r="3" customFormat="false" ht="15" hidden="false" customHeight="false" outlineLevel="0" collapsed="false">
      <c r="A3" s="2" t="s">
        <v>65</v>
      </c>
      <c r="B3" s="2" t="s">
        <v>76</v>
      </c>
      <c r="C3" s="3" t="n">
        <v>25000</v>
      </c>
      <c r="D3" s="2" t="s">
        <v>60</v>
      </c>
      <c r="E3" s="2" t="s">
        <v>77</v>
      </c>
      <c r="F3" s="2" t="s">
        <v>48</v>
      </c>
      <c r="G3" s="2" t="n">
        <v>10</v>
      </c>
      <c r="H3" s="2" t="s">
        <v>62</v>
      </c>
      <c r="I3" s="2" t="s">
        <v>63</v>
      </c>
      <c r="J3" s="2" t="str">
        <f aca="false">IFERROR(VLOOKUP(G3,Master_List!A:B,2,FALSE()),"")</f>
        <v>Jaya M</v>
      </c>
      <c r="K3" s="2"/>
    </row>
    <row r="4" customFormat="false" ht="15" hidden="false" customHeight="false" outlineLevel="0" collapsed="false">
      <c r="A4" s="2" t="s">
        <v>65</v>
      </c>
      <c r="B4" s="2" t="s">
        <v>78</v>
      </c>
      <c r="C4" s="3" t="n">
        <v>25000</v>
      </c>
      <c r="D4" s="2" t="s">
        <v>60</v>
      </c>
      <c r="E4" s="2" t="s">
        <v>79</v>
      </c>
      <c r="F4" s="2" t="s">
        <v>80</v>
      </c>
      <c r="G4" s="2"/>
      <c r="H4" s="2" t="s">
        <v>81</v>
      </c>
      <c r="I4" s="2" t="s">
        <v>63</v>
      </c>
      <c r="J4" s="2" t="str">
        <f aca="false">IFERROR(VLOOKUP(G4,Master_List!A:B,2,FALSE()),"")</f>
        <v/>
      </c>
      <c r="K4" s="2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30"/>
    <col collapsed="false" customWidth="true" hidden="false" outlineLevel="0" max="6" min="6" style="0" width="28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18"/>
    <col collapsed="false" customWidth="true" hidden="false" outlineLevel="0" max="11" min="11" style="0" width="30"/>
    <col collapsed="false" customWidth="true" hidden="false" outlineLevel="0" max="13" min="13" style="0" width="18"/>
    <col collapsed="false" customWidth="true" hidden="false" outlineLevel="0" max="14" min="14" style="0" width="14"/>
  </cols>
  <sheetData>
    <row r="1" customFormat="false" ht="15" hidden="false" customHeight="false" outlineLevel="0" collapsed="false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11</v>
      </c>
      <c r="M1" s="4" t="s">
        <v>83</v>
      </c>
      <c r="N1" s="5" t="n">
        <f aca="false">SUMIFS(C:C,D:D,"CR")-SUMIFS(C:C,D:D,"DR")</f>
        <v>0</v>
      </c>
    </row>
    <row r="2" customFormat="false" ht="15" hidden="false" customHeight="false" outlineLevel="0" collapsed="false">
      <c r="A2" s="2" t="s">
        <v>84</v>
      </c>
      <c r="B2" s="2" t="s">
        <v>85</v>
      </c>
      <c r="C2" s="3" t="n">
        <v>5000</v>
      </c>
      <c r="D2" s="2" t="s">
        <v>60</v>
      </c>
      <c r="E2" s="2" t="s">
        <v>86</v>
      </c>
      <c r="F2" s="2" t="s">
        <v>39</v>
      </c>
      <c r="G2" s="2" t="n">
        <v>7</v>
      </c>
      <c r="H2" s="2" t="s">
        <v>62</v>
      </c>
      <c r="I2" s="2" t="s">
        <v>63</v>
      </c>
      <c r="J2" s="2" t="str">
        <f aca="false">IFERROR(VLOOKUP(G2,Master_List!A:B,2,FALSE()),"")</f>
        <v>Gaurav S</v>
      </c>
      <c r="K2" s="2"/>
    </row>
    <row r="3" customFormat="false" ht="15" hidden="false" customHeight="false" outlineLevel="0" collapsed="false">
      <c r="A3" s="2" t="s">
        <v>84</v>
      </c>
      <c r="B3" s="2" t="s">
        <v>87</v>
      </c>
      <c r="C3" s="3" t="n">
        <v>20000</v>
      </c>
      <c r="D3" s="2" t="s">
        <v>60</v>
      </c>
      <c r="E3" s="2" t="s">
        <v>88</v>
      </c>
      <c r="F3" s="2" t="s">
        <v>36</v>
      </c>
      <c r="G3" s="2" t="n">
        <v>6</v>
      </c>
      <c r="H3" s="2" t="s">
        <v>62</v>
      </c>
      <c r="I3" s="2" t="s">
        <v>63</v>
      </c>
      <c r="J3" s="2" t="str">
        <f aca="false">IFERROR(VLOOKUP(G3,Master_List!A:B,2,FALSE()),"")</f>
        <v>Farhan A</v>
      </c>
      <c r="K3" s="2" t="s">
        <v>89</v>
      </c>
    </row>
    <row r="4" customFormat="false" ht="15" hidden="false" customHeight="false" outlineLevel="0" collapsed="false">
      <c r="A4" s="2" t="s">
        <v>65</v>
      </c>
      <c r="B4" s="2" t="s">
        <v>78</v>
      </c>
      <c r="C4" s="3" t="n">
        <v>25000</v>
      </c>
      <c r="D4" s="2" t="s">
        <v>90</v>
      </c>
      <c r="E4" s="2" t="s">
        <v>91</v>
      </c>
      <c r="F4" s="2" t="s">
        <v>80</v>
      </c>
      <c r="G4" s="2"/>
      <c r="H4" s="2" t="s">
        <v>81</v>
      </c>
      <c r="I4" s="2" t="s">
        <v>63</v>
      </c>
      <c r="J4" s="2" t="str">
        <f aca="false">IFERROR(VLOOKUP(G4,Master_List!A:B,2,FALSE()),"")</f>
        <v/>
      </c>
      <c r="K4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6"/>
    <col collapsed="false" customWidth="true" hidden="false" outlineLevel="0" max="5" min="5" style="0" width="14"/>
    <col collapsed="false" customWidth="true" hidden="false" outlineLevel="0" max="6" min="6" style="0" width="38"/>
    <col collapsed="false" customWidth="true" hidden="false" outlineLevel="0" max="8" min="7" style="0" width="16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" t="s">
        <v>0</v>
      </c>
      <c r="B1" s="1" t="s">
        <v>93</v>
      </c>
      <c r="C1" s="1" t="s">
        <v>94</v>
      </c>
      <c r="D1" s="1" t="s">
        <v>95</v>
      </c>
      <c r="E1" s="1" t="s">
        <v>96</v>
      </c>
      <c r="F1" s="1" t="s">
        <v>11</v>
      </c>
      <c r="G1" s="1" t="s">
        <v>97</v>
      </c>
      <c r="H1" s="1" t="s">
        <v>98</v>
      </c>
      <c r="I1" s="1" t="s">
        <v>99</v>
      </c>
    </row>
    <row r="2" customFormat="false" ht="15" hidden="false" customHeight="false" outlineLevel="0" collapsed="false">
      <c r="A2" s="2" t="n">
        <v>1</v>
      </c>
      <c r="B2" s="2" t="s">
        <v>12</v>
      </c>
      <c r="C2" s="2"/>
      <c r="D2" s="2" t="s">
        <v>100</v>
      </c>
      <c r="E2" s="2" t="n">
        <v>1</v>
      </c>
      <c r="F2" s="2" t="s">
        <v>101</v>
      </c>
      <c r="G2" s="2" t="s">
        <v>102</v>
      </c>
      <c r="H2" s="2" t="s">
        <v>103</v>
      </c>
      <c r="I2" s="2" t="s">
        <v>104</v>
      </c>
    </row>
    <row r="3" customFormat="false" ht="15" hidden="false" customHeight="false" outlineLevel="0" collapsed="false">
      <c r="A3" s="2" t="n">
        <v>2</v>
      </c>
      <c r="B3" s="2" t="s">
        <v>17</v>
      </c>
      <c r="C3" s="2"/>
      <c r="D3" s="2" t="s">
        <v>100</v>
      </c>
      <c r="E3" s="2" t="n">
        <v>2</v>
      </c>
      <c r="F3" s="2" t="s">
        <v>101</v>
      </c>
      <c r="G3" s="2" t="s">
        <v>102</v>
      </c>
      <c r="H3" s="2" t="s">
        <v>103</v>
      </c>
      <c r="I3" s="2" t="s">
        <v>104</v>
      </c>
    </row>
    <row r="4" customFormat="false" ht="15" hidden="false" customHeight="false" outlineLevel="0" collapsed="false">
      <c r="A4" s="2" t="n">
        <v>3</v>
      </c>
      <c r="B4" s="2" t="s">
        <v>20</v>
      </c>
      <c r="C4" s="2"/>
      <c r="D4" s="2" t="s">
        <v>100</v>
      </c>
      <c r="E4" s="2" t="n">
        <v>3</v>
      </c>
      <c r="F4" s="2"/>
      <c r="G4" s="2" t="s">
        <v>102</v>
      </c>
      <c r="H4" s="2" t="s">
        <v>105</v>
      </c>
      <c r="I4" s="2" t="s">
        <v>104</v>
      </c>
    </row>
    <row r="5" customFormat="false" ht="15" hidden="false" customHeight="false" outlineLevel="0" collapsed="false">
      <c r="A5" s="2" t="n">
        <v>4</v>
      </c>
      <c r="B5" s="2" t="s">
        <v>22</v>
      </c>
      <c r="C5" s="2" t="s">
        <v>106</v>
      </c>
      <c r="D5" s="2" t="s">
        <v>100</v>
      </c>
      <c r="E5" s="2" t="n">
        <v>4</v>
      </c>
      <c r="F5" s="2" t="s">
        <v>107</v>
      </c>
      <c r="G5" s="2" t="s">
        <v>102</v>
      </c>
      <c r="H5" s="2" t="s">
        <v>103</v>
      </c>
      <c r="I5" s="2" t="s">
        <v>104</v>
      </c>
    </row>
    <row r="6" customFormat="false" ht="15" hidden="false" customHeight="false" outlineLevel="0" collapsed="false">
      <c r="A6" s="2" t="n">
        <v>5</v>
      </c>
      <c r="B6" s="2" t="s">
        <v>28</v>
      </c>
      <c r="C6" s="2"/>
      <c r="D6" s="2" t="s">
        <v>100</v>
      </c>
      <c r="E6" s="2" t="n">
        <v>5</v>
      </c>
      <c r="F6" s="2"/>
      <c r="G6" s="2" t="s">
        <v>102</v>
      </c>
      <c r="H6" s="2" t="s">
        <v>105</v>
      </c>
      <c r="I6" s="2" t="s">
        <v>104</v>
      </c>
    </row>
    <row r="7" customFormat="false" ht="15" hidden="false" customHeight="false" outlineLevel="0" collapsed="false">
      <c r="A7" s="2" t="n">
        <v>6</v>
      </c>
      <c r="B7" s="2" t="s">
        <v>34</v>
      </c>
      <c r="C7" s="2" t="s">
        <v>108</v>
      </c>
      <c r="D7" s="2" t="s">
        <v>100</v>
      </c>
      <c r="E7" s="2" t="n">
        <v>6</v>
      </c>
      <c r="F7" s="2" t="s">
        <v>109</v>
      </c>
      <c r="G7" s="2" t="s">
        <v>102</v>
      </c>
      <c r="H7" s="2" t="s">
        <v>103</v>
      </c>
      <c r="I7" s="2" t="s">
        <v>104</v>
      </c>
    </row>
    <row r="8" customFormat="false" ht="15" hidden="false" customHeight="false" outlineLevel="0" collapsed="false">
      <c r="A8" s="2" t="n">
        <v>7</v>
      </c>
      <c r="B8" s="2" t="s">
        <v>38</v>
      </c>
      <c r="C8" s="2"/>
      <c r="D8" s="2" t="s">
        <v>100</v>
      </c>
      <c r="E8" s="2" t="n">
        <v>7</v>
      </c>
      <c r="F8" s="2" t="s">
        <v>110</v>
      </c>
      <c r="G8" s="2" t="s">
        <v>102</v>
      </c>
      <c r="H8" s="2" t="s">
        <v>105</v>
      </c>
      <c r="I8" s="2" t="s">
        <v>104</v>
      </c>
    </row>
    <row r="9" customFormat="false" ht="15" hidden="false" customHeight="false" outlineLevel="0" collapsed="false">
      <c r="A9" s="2" t="n">
        <v>8</v>
      </c>
      <c r="B9" s="2" t="s">
        <v>41</v>
      </c>
      <c r="C9" s="2"/>
      <c r="D9" s="2" t="s">
        <v>100</v>
      </c>
      <c r="E9" s="2" t="n">
        <v>8</v>
      </c>
      <c r="F9" s="2"/>
      <c r="G9" s="2" t="s">
        <v>102</v>
      </c>
      <c r="H9" s="2" t="s">
        <v>103</v>
      </c>
      <c r="I9" s="2" t="s">
        <v>104</v>
      </c>
    </row>
    <row r="10" customFormat="false" ht="15" hidden="false" customHeight="false" outlineLevel="0" collapsed="false">
      <c r="A10" s="2" t="n">
        <v>9</v>
      </c>
      <c r="B10" s="2" t="s">
        <v>44</v>
      </c>
      <c r="C10" s="2"/>
      <c r="D10" s="2" t="s">
        <v>100</v>
      </c>
      <c r="E10" s="2" t="n">
        <v>9</v>
      </c>
      <c r="F10" s="2"/>
      <c r="G10" s="2" t="s">
        <v>102</v>
      </c>
      <c r="H10" s="2" t="s">
        <v>105</v>
      </c>
      <c r="I10" s="2" t="s">
        <v>104</v>
      </c>
    </row>
    <row r="11" customFormat="false" ht="15" hidden="false" customHeight="false" outlineLevel="0" collapsed="false">
      <c r="A11" s="2" t="n">
        <v>10</v>
      </c>
      <c r="B11" s="2" t="s">
        <v>47</v>
      </c>
      <c r="C11" s="2"/>
      <c r="D11" s="2" t="s">
        <v>100</v>
      </c>
      <c r="E11" s="2" t="n">
        <v>10</v>
      </c>
      <c r="F11" s="2"/>
      <c r="G11" s="2" t="s">
        <v>102</v>
      </c>
      <c r="H11" s="2" t="s">
        <v>103</v>
      </c>
      <c r="I11" s="2" t="s">
        <v>104</v>
      </c>
    </row>
    <row r="12" customFormat="false" ht="15" hidden="false" customHeight="false" outlineLevel="0" collapsed="false">
      <c r="A12" s="2" t="n">
        <v>11</v>
      </c>
      <c r="B12" s="2" t="s">
        <v>111</v>
      </c>
      <c r="C12" s="2" t="s">
        <v>112</v>
      </c>
      <c r="D12" s="2" t="s">
        <v>113</v>
      </c>
      <c r="E12" s="2"/>
      <c r="F12" s="2" t="s">
        <v>114</v>
      </c>
      <c r="G12" s="2" t="s">
        <v>102</v>
      </c>
      <c r="H12" s="2" t="s">
        <v>105</v>
      </c>
      <c r="I12" s="2" t="s">
        <v>104</v>
      </c>
    </row>
    <row r="13" customFormat="false" ht="15" hidden="false" customHeight="false" outlineLevel="0" collapsed="false">
      <c r="A13" s="2" t="n">
        <v>12</v>
      </c>
      <c r="B13" s="2" t="s">
        <v>115</v>
      </c>
      <c r="C13" s="2"/>
      <c r="D13" s="2" t="s">
        <v>100</v>
      </c>
      <c r="E13" s="2"/>
      <c r="F13" s="2" t="s">
        <v>116</v>
      </c>
      <c r="G13" s="2" t="s">
        <v>102</v>
      </c>
      <c r="H13" s="2" t="s">
        <v>103</v>
      </c>
      <c r="I13" s="2" t="s">
        <v>104</v>
      </c>
    </row>
    <row r="14" customFormat="false" ht="15" hidden="false" customHeight="false" outlineLevel="0" collapsed="false">
      <c r="A14" s="2" t="n">
        <v>13</v>
      </c>
      <c r="B14" s="2" t="s">
        <v>117</v>
      </c>
      <c r="C14" s="2"/>
      <c r="D14" s="2" t="s">
        <v>100</v>
      </c>
      <c r="E14" s="2"/>
      <c r="F14" s="2" t="s">
        <v>118</v>
      </c>
      <c r="G14" s="2" t="s">
        <v>102</v>
      </c>
      <c r="H14" s="2" t="s">
        <v>105</v>
      </c>
      <c r="I14" s="2" t="s">
        <v>104</v>
      </c>
    </row>
    <row r="15" customFormat="false" ht="15" hidden="false" customHeight="false" outlineLevel="0" collapsed="false">
      <c r="A15" s="2" t="n">
        <v>14</v>
      </c>
      <c r="B15" s="2" t="s">
        <v>119</v>
      </c>
      <c r="C15" s="2"/>
      <c r="D15" s="2" t="s">
        <v>120</v>
      </c>
      <c r="E15" s="2"/>
      <c r="F15" s="2" t="s">
        <v>121</v>
      </c>
      <c r="G15" s="2" t="s">
        <v>102</v>
      </c>
      <c r="H15" s="2" t="s">
        <v>105</v>
      </c>
      <c r="I15" s="2" t="s">
        <v>104</v>
      </c>
    </row>
    <row r="16" customFormat="false" ht="15" hidden="false" customHeight="false" outlineLevel="0" collapsed="false">
      <c r="A16" s="2" t="n">
        <v>15</v>
      </c>
      <c r="B16" s="2" t="s">
        <v>122</v>
      </c>
      <c r="C16" s="2"/>
      <c r="D16" s="2" t="s">
        <v>100</v>
      </c>
      <c r="E16" s="2"/>
      <c r="F16" s="2" t="s">
        <v>123</v>
      </c>
      <c r="G16" s="2" t="s">
        <v>124</v>
      </c>
      <c r="H16" s="2" t="s">
        <v>103</v>
      </c>
      <c r="I16" s="2" t="s">
        <v>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8"/>
    <col collapsed="false" customWidth="true" hidden="false" outlineLevel="0" max="5" min="5" style="0" width="24"/>
    <col collapsed="false" customWidth="true" hidden="false" outlineLevel="0" max="6" min="6" style="0" width="14"/>
    <col collapsed="false" customWidth="true" hidden="false" outlineLevel="0" max="8" min="7" style="0" width="22"/>
    <col collapsed="false" customWidth="true" hidden="false" outlineLevel="0" max="9" min="9" style="0" width="38"/>
  </cols>
  <sheetData>
    <row r="1" customFormat="false" ht="15" hidden="false" customHeight="false" outlineLevel="0" collapsed="false">
      <c r="A1" s="1" t="s">
        <v>126</v>
      </c>
      <c r="B1" s="1" t="s">
        <v>127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</row>
    <row r="2" customFormat="false" ht="15" hidden="false" customHeight="false" outlineLevel="0" collapsed="false">
      <c r="A2" s="2" t="s">
        <v>135</v>
      </c>
      <c r="B2" s="2" t="n">
        <v>1</v>
      </c>
      <c r="C2" s="2" t="s">
        <v>136</v>
      </c>
      <c r="D2" s="2" t="n">
        <v>2</v>
      </c>
      <c r="E2" s="2" t="s">
        <v>55</v>
      </c>
      <c r="F2" s="2"/>
      <c r="G2" s="2" t="s">
        <v>137</v>
      </c>
      <c r="H2" s="2" t="s">
        <v>138</v>
      </c>
      <c r="I2" s="2" t="s">
        <v>16</v>
      </c>
    </row>
    <row r="3" customFormat="false" ht="15" hidden="false" customHeight="false" outlineLevel="0" collapsed="false">
      <c r="A3" s="2" t="s">
        <v>139</v>
      </c>
      <c r="B3" s="2" t="n">
        <v>2</v>
      </c>
      <c r="C3" s="2" t="s">
        <v>136</v>
      </c>
      <c r="D3" s="2" t="n">
        <v>3</v>
      </c>
      <c r="E3" s="2" t="s">
        <v>55</v>
      </c>
      <c r="F3" s="2"/>
      <c r="G3" s="2" t="s">
        <v>140</v>
      </c>
      <c r="H3" s="2" t="s">
        <v>138</v>
      </c>
      <c r="I3" s="2" t="s">
        <v>19</v>
      </c>
    </row>
    <row r="4" customFormat="false" ht="15" hidden="false" customHeight="false" outlineLevel="0" collapsed="false">
      <c r="A4" s="2" t="s">
        <v>141</v>
      </c>
      <c r="B4" s="2" t="n">
        <v>3</v>
      </c>
      <c r="C4" s="2" t="s">
        <v>142</v>
      </c>
      <c r="D4" s="2" t="n">
        <v>2</v>
      </c>
      <c r="E4" s="2" t="s">
        <v>55</v>
      </c>
      <c r="F4" s="2"/>
      <c r="G4" s="2" t="s">
        <v>143</v>
      </c>
      <c r="H4" s="2" t="s">
        <v>138</v>
      </c>
      <c r="I4" s="2" t="s">
        <v>21</v>
      </c>
    </row>
    <row r="5" customFormat="false" ht="15" hidden="false" customHeight="false" outlineLevel="0" collapsed="false">
      <c r="A5" s="2" t="s">
        <v>144</v>
      </c>
      <c r="B5" s="2" t="n">
        <v>4</v>
      </c>
      <c r="C5" s="2" t="s">
        <v>145</v>
      </c>
      <c r="D5" s="2" t="n">
        <v>5</v>
      </c>
      <c r="E5" s="2" t="s">
        <v>5</v>
      </c>
      <c r="F5" s="2" t="s">
        <v>146</v>
      </c>
      <c r="G5" s="2" t="s">
        <v>147</v>
      </c>
      <c r="H5" s="2" t="s">
        <v>148</v>
      </c>
      <c r="I5" s="2" t="s">
        <v>149</v>
      </c>
    </row>
    <row r="6" customFormat="false" ht="15" hidden="false" customHeight="false" outlineLevel="0" collapsed="false">
      <c r="A6" s="2" t="s">
        <v>150</v>
      </c>
      <c r="B6" s="2"/>
      <c r="C6" s="2" t="s">
        <v>142</v>
      </c>
      <c r="D6" s="2" t="n">
        <v>4</v>
      </c>
      <c r="E6" s="2" t="s">
        <v>56</v>
      </c>
      <c r="F6" s="2"/>
      <c r="G6" s="2" t="s">
        <v>81</v>
      </c>
      <c r="H6" s="2" t="s">
        <v>151</v>
      </c>
      <c r="I6" s="2" t="s">
        <v>80</v>
      </c>
    </row>
    <row r="7" customFormat="false" ht="15" hidden="false" customHeight="false" outlineLevel="0" collapsed="false">
      <c r="A7" s="2" t="s">
        <v>152</v>
      </c>
      <c r="B7" s="2"/>
      <c r="C7" s="2" t="s">
        <v>153</v>
      </c>
      <c r="D7" s="2" t="n">
        <v>0</v>
      </c>
      <c r="E7" s="2" t="s">
        <v>154</v>
      </c>
      <c r="F7" s="2"/>
      <c r="G7" s="2" t="s">
        <v>155</v>
      </c>
      <c r="H7" s="2" t="s">
        <v>156</v>
      </c>
      <c r="I7" s="2" t="s">
        <v>157</v>
      </c>
    </row>
    <row r="8" customFormat="false" ht="15" hidden="false" customHeight="false" outlineLevel="0" collapsed="false">
      <c r="A8" s="2" t="s">
        <v>158</v>
      </c>
      <c r="B8" s="2"/>
      <c r="C8" s="2" t="s">
        <v>159</v>
      </c>
      <c r="D8" s="2" t="n">
        <v>0</v>
      </c>
      <c r="E8" s="2" t="s">
        <v>160</v>
      </c>
      <c r="F8" s="2"/>
      <c r="G8" s="2"/>
      <c r="H8" s="2" t="s">
        <v>161</v>
      </c>
      <c r="I8" s="2" t="s">
        <v>162</v>
      </c>
    </row>
    <row r="9" customFormat="false" ht="15" hidden="false" customHeight="false" outlineLevel="0" collapsed="false">
      <c r="A9" s="2" t="s">
        <v>163</v>
      </c>
      <c r="B9" s="2"/>
      <c r="C9" s="2" t="s">
        <v>159</v>
      </c>
      <c r="D9" s="2" t="n">
        <v>0</v>
      </c>
      <c r="E9" s="2" t="s">
        <v>164</v>
      </c>
      <c r="F9" s="2"/>
      <c r="G9" s="2"/>
      <c r="H9" s="2" t="s">
        <v>165</v>
      </c>
      <c r="I9" s="2" t="s">
        <v>166</v>
      </c>
    </row>
    <row r="10" customFormat="false" ht="15" hidden="false" customHeight="false" outlineLevel="0" collapsed="false">
      <c r="A10" s="2" t="s">
        <v>167</v>
      </c>
      <c r="B10" s="2" t="n">
        <v>11</v>
      </c>
      <c r="C10" s="2" t="s">
        <v>168</v>
      </c>
      <c r="D10" s="2" t="n">
        <v>12</v>
      </c>
      <c r="E10" s="2" t="s">
        <v>169</v>
      </c>
      <c r="F10" s="2"/>
      <c r="G10" s="2" t="s">
        <v>111</v>
      </c>
      <c r="H10" s="2" t="s">
        <v>170</v>
      </c>
      <c r="I10" s="2" t="s">
        <v>171</v>
      </c>
    </row>
    <row r="11" customFormat="false" ht="15" hidden="false" customHeight="false" outlineLevel="0" collapsed="false">
      <c r="A11" s="2" t="s">
        <v>172</v>
      </c>
      <c r="B11" s="2" t="n">
        <v>15</v>
      </c>
      <c r="C11" s="2" t="s">
        <v>168</v>
      </c>
      <c r="D11" s="2" t="n">
        <v>16</v>
      </c>
      <c r="E11" s="2" t="s">
        <v>99</v>
      </c>
      <c r="F11" s="2" t="s">
        <v>104</v>
      </c>
      <c r="G11" s="2" t="s">
        <v>125</v>
      </c>
      <c r="H11" s="2" t="s">
        <v>173</v>
      </c>
      <c r="I11" s="2" t="s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60"/>
    <col collapsed="false" customWidth="true" hidden="false" outlineLevel="0" max="6" min="6" style="0" width="12"/>
    <col collapsed="false" customWidth="true" hidden="false" outlineLevel="0" max="7" min="7" style="0" width="22"/>
  </cols>
  <sheetData>
    <row r="1" customFormat="false" ht="15" hidden="false" customHeight="false" outlineLevel="0" collapsed="false">
      <c r="A1" s="1" t="s">
        <v>0</v>
      </c>
      <c r="B1" s="1" t="s">
        <v>175</v>
      </c>
      <c r="C1" s="1" t="s">
        <v>52</v>
      </c>
      <c r="D1" s="1" t="s">
        <v>176</v>
      </c>
      <c r="E1" s="1" t="s">
        <v>177</v>
      </c>
      <c r="F1" s="1" t="s">
        <v>56</v>
      </c>
      <c r="G1" s="1" t="s">
        <v>178</v>
      </c>
    </row>
    <row r="2" customFormat="false" ht="15" hidden="false" customHeight="false" outlineLevel="0" collapsed="false">
      <c r="A2" s="2" t="n">
        <v>1</v>
      </c>
      <c r="B2" s="2" t="s">
        <v>179</v>
      </c>
      <c r="C2" s="2" t="s">
        <v>68</v>
      </c>
      <c r="D2" s="2" t="s">
        <v>180</v>
      </c>
      <c r="E2" s="2" t="s">
        <v>181</v>
      </c>
      <c r="F2" s="2" t="s">
        <v>182</v>
      </c>
      <c r="G2" s="2"/>
    </row>
    <row r="3" customFormat="false" ht="15" hidden="false" customHeight="false" outlineLevel="0" collapsed="false">
      <c r="A3" s="2" t="n">
        <v>2</v>
      </c>
      <c r="B3" s="2" t="s">
        <v>183</v>
      </c>
      <c r="C3" s="2" t="s">
        <v>184</v>
      </c>
      <c r="D3" s="2" t="s">
        <v>185</v>
      </c>
      <c r="E3" s="2" t="s">
        <v>186</v>
      </c>
      <c r="F3" s="2" t="s">
        <v>182</v>
      </c>
      <c r="G3" s="2"/>
    </row>
    <row r="4" customFormat="false" ht="15" hidden="false" customHeight="false" outlineLevel="0" collapsed="false">
      <c r="A4" s="2" t="n">
        <v>3</v>
      </c>
      <c r="B4" s="2" t="s">
        <v>167</v>
      </c>
      <c r="C4" s="2" t="s">
        <v>187</v>
      </c>
      <c r="D4" s="2" t="s">
        <v>188</v>
      </c>
      <c r="E4" s="2" t="s">
        <v>189</v>
      </c>
      <c r="F4" s="2" t="s">
        <v>190</v>
      </c>
      <c r="G4" s="2" t="s">
        <v>191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2"/>
    <col collapsed="false" customWidth="true" hidden="false" outlineLevel="0" max="4" min="3" style="0" width="20"/>
  </cols>
  <sheetData>
    <row r="1" customFormat="false" ht="17.35" hidden="false" customHeight="false" outlineLevel="0" collapsed="false">
      <c r="A1" s="6" t="s">
        <v>192</v>
      </c>
      <c r="B1" s="6"/>
      <c r="C1" s="6"/>
      <c r="D1" s="6"/>
    </row>
    <row r="3" customFormat="false" ht="15" hidden="false" customHeight="false" outlineLevel="0" collapsed="false">
      <c r="A3" s="4" t="s">
        <v>193</v>
      </c>
      <c r="B3" s="7" t="s">
        <v>194</v>
      </c>
    </row>
    <row r="5" customFormat="false" ht="15" hidden="false" customHeight="false" outlineLevel="0" collapsed="false">
      <c r="A5" s="8" t="s">
        <v>195</v>
      </c>
      <c r="B5" s="9"/>
    </row>
    <row r="6" customFormat="false" ht="15" hidden="false" customHeight="false" outlineLevel="0" collapsed="false">
      <c r="A6" s="9" t="s">
        <v>196</v>
      </c>
      <c r="B6" s="10" t="n">
        <f aca="false">SUM(Master_List!E:E)</f>
        <v>285000</v>
      </c>
    </row>
    <row r="7" customFormat="false" ht="15" hidden="false" customHeight="false" outlineLevel="0" collapsed="false">
      <c r="A7" s="9" t="s">
        <v>197</v>
      </c>
      <c r="B7" s="10" t="n">
        <f aca="false">SUM(Master_List!F:F)</f>
        <v>45000</v>
      </c>
    </row>
    <row r="8" customFormat="false" ht="15" hidden="false" customHeight="false" outlineLevel="0" collapsed="false">
      <c r="A8" s="9" t="s">
        <v>198</v>
      </c>
      <c r="B8" s="10" t="n">
        <f aca="false">SUMIFS(PNB_Statement!C:C,PNB_Statement!G:G,"",PNB_Statement!D:D,"CR",PNB_Statement!H:H,"Unreviewed")+SUMIFS(Canara_Statement!C:C,Canara_Statement!G:G,"",Canara_Statement!D:D,"CR",Canara_Statement!H:H,"Unreviewed")</f>
        <v>15000</v>
      </c>
    </row>
    <row r="9" customFormat="false" ht="15" hidden="false" customHeight="false" outlineLevel="0" collapsed="false">
      <c r="A9" s="11" t="s">
        <v>199</v>
      </c>
      <c r="B9" s="12" t="n">
        <f aca="false">B6+B7+B8</f>
        <v>345000</v>
      </c>
    </row>
    <row r="10" customFormat="false" ht="15" hidden="false" customHeight="false" outlineLevel="0" collapsed="false">
      <c r="A10" s="9"/>
      <c r="B10" s="9"/>
    </row>
    <row r="11" customFormat="false" ht="15" hidden="false" customHeight="false" outlineLevel="0" collapsed="false">
      <c r="A11" s="8" t="s">
        <v>200</v>
      </c>
      <c r="B11" s="9"/>
    </row>
    <row r="12" customFormat="false" ht="15" hidden="false" customHeight="false" outlineLevel="0" collapsed="false">
      <c r="A12" s="9" t="s">
        <v>136</v>
      </c>
      <c r="B12" s="10" t="n">
        <f aca="false">SUMIFS(PNB_Statement!C:C,PNB_Statement!D:D,"CR")</f>
        <v>150000</v>
      </c>
    </row>
    <row r="13" customFormat="false" ht="15" hidden="false" customHeight="false" outlineLevel="0" collapsed="false">
      <c r="A13" s="9" t="s">
        <v>142</v>
      </c>
      <c r="B13" s="10" t="n">
        <f aca="false">SUMIFS(Canara_Statement!C:C,Canara_Statement!D:D,"CR")</f>
        <v>150000</v>
      </c>
    </row>
    <row r="14" customFormat="false" ht="15" hidden="false" customHeight="false" outlineLevel="0" collapsed="false">
      <c r="A14" s="9" t="s">
        <v>201</v>
      </c>
      <c r="B14" s="10" t="n">
        <f aca="false">SUMIFS(Holding_Account!C:C,Holding_Account!D:D,"CR")</f>
        <v>25000</v>
      </c>
    </row>
    <row r="15" customFormat="false" ht="15" hidden="false" customHeight="false" outlineLevel="0" collapsed="false">
      <c r="A15" s="9"/>
      <c r="B15" s="9"/>
    </row>
    <row r="16" customFormat="false" ht="15" hidden="false" customHeight="false" outlineLevel="0" collapsed="false">
      <c r="A16" s="8" t="s">
        <v>202</v>
      </c>
      <c r="B16" s="10" t="n">
        <f aca="false">SUMIFS(Holding_Account!C:C,Holding_Account!D:D,"CR")-SUMIFS(Holding_Account!C:C,Holding_Account!D:D,"DR")</f>
        <v>0</v>
      </c>
    </row>
    <row r="17" customFormat="false" ht="15" hidden="false" customHeight="false" outlineLevel="0" collapsed="false">
      <c r="A17" s="9"/>
      <c r="B17" s="9"/>
    </row>
    <row r="18" customFormat="false" ht="15" hidden="false" customHeight="false" outlineLevel="0" collapsed="false">
      <c r="A18" s="8" t="s">
        <v>203</v>
      </c>
      <c r="B18" s="9"/>
    </row>
    <row r="19" customFormat="false" ht="15" hidden="false" customHeight="false" outlineLevel="0" collapsed="false">
      <c r="A19" s="9" t="s">
        <v>14</v>
      </c>
      <c r="B19" s="9" t="n">
        <f aca="false">COUNTIF(Master_List!H:H,"OK")</f>
        <v>7</v>
      </c>
    </row>
    <row r="20" customFormat="false" ht="15" hidden="false" customHeight="false" outlineLevel="0" collapsed="false">
      <c r="A20" s="9" t="s">
        <v>30</v>
      </c>
      <c r="B20" s="9" t="n">
        <f aca="false">COUNTIF(Master_List!H:H,"PARTIAL")</f>
        <v>1</v>
      </c>
    </row>
    <row r="21" customFormat="false" ht="15" hidden="false" customHeight="false" outlineLevel="0" collapsed="false">
      <c r="A21" s="9" t="s">
        <v>24</v>
      </c>
      <c r="B21" s="9" t="n">
        <f aca="false">COUNTIF(Master_List!H:H,"PENDING")</f>
        <v>2</v>
      </c>
    </row>
    <row r="22" customFormat="false" ht="15" hidden="false" customHeight="false" outlineLevel="0" collapsed="false">
      <c r="A22" s="9" t="s">
        <v>204</v>
      </c>
      <c r="B22" s="9" t="n">
        <f aca="false">COUNTIF(Master_List!H:H,"OVER")</f>
        <v>0</v>
      </c>
    </row>
    <row r="23" customFormat="false" ht="15" hidden="false" customHeight="false" outlineLevel="0" collapsed="false">
      <c r="A23" s="9" t="s">
        <v>205</v>
      </c>
      <c r="B23" s="9" t="n">
        <f aca="false">COUNTIF(Master_List!H:H,"REMOVED")</f>
        <v>0</v>
      </c>
    </row>
    <row r="24" customFormat="false" ht="15" hidden="false" customHeight="false" outlineLevel="0" collapsed="false">
      <c r="A24" s="9"/>
      <c r="B24" s="9"/>
    </row>
    <row r="25" customFormat="false" ht="15" hidden="false" customHeight="false" outlineLevel="0" collapsed="false">
      <c r="A25" s="8" t="s">
        <v>206</v>
      </c>
      <c r="B25" s="9" t="n">
        <f aca="false">COUNTIF(Action_Items!F:F,"Open")</f>
        <v>2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2026-05-22T08:25:41Z</dcterms:created>
  <dc:creator>openpyxl</dc:creator>
  <dc:description/>
  <dc:language>en-US</dc:language>
  <cp:lastModifiedBy/>
  <dcterms:modified xsi:type="dcterms:W3CDTF">2026-05-22T08:25:41Z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